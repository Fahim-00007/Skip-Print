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color rgb="004B5563"/>
      <sz val="10"/>
    </font>
    <font>
      <name val="Segoe UI"/>
      <b val="1"/>
      <color rgb="00111827"/>
      <sz val="10"/>
    </font>
    <font>
      <name val="Segoe UI"/>
      <color rgb="001F2937"/>
      <sz val="10"/>
    </font>
    <font>
      <name val="Segoe UI"/>
      <b val="1"/>
      <color rgb="00FFFFFF"/>
      <sz val="10"/>
    </font>
    <font>
      <name val="Segoe U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E3A8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16" customWidth="1" min="5" max="5"/>
  </cols>
  <sheetData>
    <row r="2" ht="28" customHeight="1">
      <c r="A2" s="1" t="inlineStr">
        <is>
          <t>COMMERCIAL INVOICE</t>
        </is>
      </c>
    </row>
    <row r="3">
      <c r="A3" s="2" t="inlineStr">
        <is>
          <t>Original For Recipient | GST/VAT Compliant</t>
        </is>
      </c>
    </row>
    <row r="5">
      <c r="A5" s="3" t="inlineStr">
        <is>
          <t>Invoice No:</t>
        </is>
      </c>
      <c r="B5" s="4" t="inlineStr">
        <is>
          <t>INV-2026-0842</t>
        </is>
      </c>
      <c r="D5" s="3" t="inlineStr">
        <is>
          <t>Invoice Date:</t>
        </is>
      </c>
      <c r="E5" s="5" t="inlineStr">
        <is>
          <t>18-Oct-2026</t>
        </is>
      </c>
    </row>
    <row r="6">
      <c r="A6" s="3" t="inlineStr">
        <is>
          <t>Due Date:</t>
        </is>
      </c>
      <c r="B6" s="4" t="inlineStr">
        <is>
          <t>02-Nov-2026</t>
        </is>
      </c>
      <c r="D6" s="3" t="inlineStr">
        <is>
          <t>Payment Terms:</t>
        </is>
      </c>
      <c r="E6" s="5" t="inlineStr">
        <is>
          <t>Net 15 Days</t>
        </is>
      </c>
    </row>
    <row r="8">
      <c r="A8" s="3" t="inlineStr">
        <is>
          <t>Billed To:</t>
        </is>
      </c>
      <c r="B8" s="3" t="inlineStr">
        <is>
          <t>Horizon Global Enterprises Ltd.</t>
        </is>
      </c>
    </row>
    <row r="9">
      <c r="B9" s="4" t="inlineStr">
        <is>
          <t>450 Innovation Parkway, Suite 800</t>
        </is>
      </c>
    </row>
    <row r="10">
      <c r="B10" s="4" t="inlineStr">
        <is>
          <t>San Francisco, CA 94107</t>
        </is>
      </c>
    </row>
    <row r="11">
      <c r="B11" s="4" t="inlineStr">
        <is>
          <t>Attn: Accounts Payable (finance@horizonglobal.com)</t>
        </is>
      </c>
    </row>
    <row r="13" ht="24" customHeight="1">
      <c r="A13" s="6" t="inlineStr">
        <is>
          <t>#</t>
        </is>
      </c>
      <c r="B13" s="7" t="inlineStr">
        <is>
          <t>Item Description</t>
        </is>
      </c>
      <c r="C13" s="6" t="inlineStr">
        <is>
          <t>Qty</t>
        </is>
      </c>
      <c r="D13" s="8" t="inlineStr">
        <is>
          <t>Unit Price</t>
        </is>
      </c>
      <c r="E13" s="8" t="inlineStr">
        <is>
          <t>Total (USD)</t>
        </is>
      </c>
    </row>
    <row r="14" ht="20" customHeight="1">
      <c r="A14" s="9" t="n">
        <v>1</v>
      </c>
      <c r="B14" s="10" t="inlineStr">
        <is>
          <t>Enterprise Cloud Architecture Consulting</t>
        </is>
      </c>
      <c r="C14" s="9" t="n">
        <v>40</v>
      </c>
      <c r="D14" s="11" t="n">
        <v>150</v>
      </c>
      <c r="E14" s="11">
        <f>C14*D14</f>
        <v/>
      </c>
    </row>
    <row r="15" ht="20" customHeight="1">
      <c r="A15" s="12" t="n">
        <v>2</v>
      </c>
      <c r="B15" s="13" t="inlineStr">
        <is>
          <t>Custom API Integration &amp; Microservices</t>
        </is>
      </c>
      <c r="C15" s="12" t="n">
        <v>25</v>
      </c>
      <c r="D15" s="14" t="n">
        <v>120</v>
      </c>
      <c r="E15" s="14">
        <f>C15*D15</f>
        <v/>
      </c>
    </row>
    <row r="16" ht="20" customHeight="1">
      <c r="A16" s="9" t="n">
        <v>3</v>
      </c>
      <c r="B16" s="10" t="inlineStr">
        <is>
          <t>Automated CI/CD Pipeline Implementation</t>
        </is>
      </c>
      <c r="C16" s="9" t="n">
        <v>15</v>
      </c>
      <c r="D16" s="11" t="n">
        <v>110</v>
      </c>
      <c r="E16" s="11">
        <f>C16*D16</f>
        <v/>
      </c>
    </row>
    <row r="17" ht="20" customHeight="1">
      <c r="A17" s="12" t="n">
        <v>4</v>
      </c>
      <c r="B17" s="13" t="inlineStr">
        <is>
          <t>High-Availability Database Clustering</t>
        </is>
      </c>
      <c r="C17" s="12" t="n">
        <v>20</v>
      </c>
      <c r="D17" s="14" t="n">
        <v>140</v>
      </c>
      <c r="E17" s="14">
        <f>C17*D17</f>
        <v/>
      </c>
    </row>
    <row r="18" ht="20" customHeight="1">
      <c r="A18" s="9" t="n">
        <v>5</v>
      </c>
      <c r="B18" s="10" t="inlineStr">
        <is>
          <t>Security Audit &amp; Vulnerability Assessment</t>
        </is>
      </c>
      <c r="C18" s="9" t="n">
        <v>1</v>
      </c>
      <c r="D18" s="11" t="n">
        <v>1850</v>
      </c>
      <c r="E18" s="11">
        <f>C18*D18</f>
        <v/>
      </c>
    </row>
    <row r="19" ht="20" customHeight="1">
      <c r="A19" s="12" t="n">
        <v>6</v>
      </c>
      <c r="B19" s="13" t="inlineStr">
        <is>
          <t>Dedicated Premium Support (Monthly SLA)</t>
        </is>
      </c>
      <c r="C19" s="12" t="n">
        <v>1</v>
      </c>
      <c r="D19" s="14" t="n">
        <v>950</v>
      </c>
      <c r="E19" s="14">
        <f>C19*D19</f>
        <v/>
      </c>
    </row>
    <row r="21">
      <c r="D21" s="15" t="inlineStr">
        <is>
          <t>Subtotal:</t>
        </is>
      </c>
      <c r="E21" s="16">
        <f>SUM(E14:E19)</f>
        <v/>
      </c>
    </row>
    <row r="22">
      <c r="D22" s="5" t="inlineStr">
        <is>
          <t>Tax / VAT (8.5%):</t>
        </is>
      </c>
      <c r="E22" s="17">
        <f>E21*0.085</f>
        <v/>
      </c>
    </row>
    <row r="23" ht="24" customHeight="1">
      <c r="D23" s="18" t="inlineStr">
        <is>
          <t>Total Due (USD):</t>
        </is>
      </c>
      <c r="E23" s="19">
        <f>E21+E22</f>
        <v/>
      </c>
    </row>
    <row r="26">
      <c r="A26" s="3" t="inlineStr">
        <is>
          <t>Bank Wire Transfer Details:</t>
        </is>
      </c>
      <c r="D26" s="15" t="inlineStr">
        <is>
          <t>Authorized Signatory:</t>
        </is>
      </c>
    </row>
    <row r="27">
      <c r="A27" s="4" t="inlineStr">
        <is>
          <t>Bank: Pacific National Commercial Bank</t>
        </is>
      </c>
    </row>
    <row r="28">
      <c r="A28" s="4" t="inlineStr">
        <is>
          <t>Routing / ABA: 121000358</t>
        </is>
      </c>
    </row>
    <row r="29">
      <c r="A29" s="4" t="inlineStr">
        <is>
          <t>Account No: 9874-4501-9238</t>
        </is>
      </c>
    </row>
    <row r="30">
      <c r="A30" s="4" t="inlineStr">
        <is>
          <t>SWIFT/BIC: PNCBUS33SF</t>
        </is>
      </c>
      <c r="D30" s="5" t="inlineStr">
        <is>
          <t>--------------------------------------</t>
        </is>
      </c>
    </row>
    <row r="31">
      <c r="D31" s="15" t="inlineStr">
        <is>
          <t>Alex Morgan, Managing Director</t>
        </is>
      </c>
    </row>
  </sheetData>
  <mergeCells count="5">
    <mergeCell ref="D30:E30"/>
    <mergeCell ref="A2:E2"/>
    <mergeCell ref="D31:E31"/>
    <mergeCell ref="D26:E26"/>
    <mergeCell ref="A3:E3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2026-10-17T20:59:32Z</dcterms:created>
  <dcterms:modified xmlns:dcterms="http://purl.org/dc/terms/" xmlns:xsi="http://www.w3.org/2001/XMLSchema-instance" xsi:type="dcterms:W3CDTF">2026-10-17T20:59:32Z</dcterms:modified>
</cp:coreProperties>
</file>